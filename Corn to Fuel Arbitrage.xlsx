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d Corn Prices" sheetId="1" r:id="rId5"/>
    <sheet state="visible" name="Ethanol Prices" sheetId="2" r:id="rId6"/>
    <sheet state="visible" name="Orgainze The Data" sheetId="3" r:id="rId7"/>
    <sheet state="visible" name="Summary" sheetId="4" r:id="rId8"/>
  </sheets>
  <definedNames/>
  <calcPr/>
</workbook>
</file>

<file path=xl/sharedStrings.xml><?xml version="1.0" encoding="utf-8"?>
<sst xmlns="http://schemas.openxmlformats.org/spreadsheetml/2006/main" count="26" uniqueCount="22">
  <si>
    <t>Date</t>
  </si>
  <si>
    <t>Open</t>
  </si>
  <si>
    <t>High</t>
  </si>
  <si>
    <t>Low</t>
  </si>
  <si>
    <t>Close*</t>
  </si>
  <si>
    <t>Adj Close**</t>
  </si>
  <si>
    <t>Volume</t>
  </si>
  <si>
    <t>U.S. Oxygenate Plant Production of Fuel Ethanol (Thousand Barrels)</t>
  </si>
  <si>
    <t>Average Corn Price per bushel</t>
  </si>
  <si>
    <t>Total US Ethanol Production barrels</t>
  </si>
  <si>
    <t xml:space="preserve">Relationship between energy demand and food prices </t>
  </si>
  <si>
    <t>Correlation Analysis: Corn Markets vs. Biofuel Production</t>
  </si>
  <si>
    <t>Executive Summary</t>
  </si>
  <si>
    <t>This analysis uses a dual-axis visualization to evaluate the macroeconomic relationship between average corn prices per bushel (left axis) and total US ethanol production in barrels (right axis) from July 2021 through early 2026. While corn is the primary feedstock for domestic ethanol production, empirical data reveals a statistically weak relationship. The two metrics operate largely independent of one another due to external regulatory and structural market drivers.</t>
  </si>
  <si>
    <t>Core Data Trends</t>
  </si>
  <si>
    <t>1. Price Volatility vs. Production Stability</t>
  </si>
  <si>
    <t>The charts clearly illustrate that while corn prices experienced massive macro-cycles, ethanol production maintained a highly stable baseline.</t>
  </si>
  <si>
    <t>The Spike (Late 2021 – Mid 2022): Corn prices rapidly climbed from roughly $550 to an apex near $820 per bushel. Despite this 49% surge in raw material costs, ethanol production experienced no corresponding drop or spike, fluctuating steadily around its 30,000-barrel baseline.</t>
  </si>
  <si>
    <t>The Decline (2023 – 2026): From 2023 onward, corn prices steadily collapsed, eventually bottoming out and stabilizing between $400 and $500 per bushel. Concurrently, ethanol production did not contract; instead, it drifted slightly upward, maintaining its consistent cyclical rhythm between 28,000 and 34,000 barrels.</t>
  </si>
  <si>
    <t>2. Visual Proof of Low Correlation</t>
  </si>
  <si>
    <t>Whether viewed as continuous trends (top line chart) or individual monthly data points (bottom scatter plot), the variables fail to move in tandem. If a strong positive correlation existed, the two lines or clusters of dots would mirror each other's curves. Instead, the corn price data creates a distinct downward arc over the five-year period, while the ethanol production data forms a mostly flat, vibrating horizontal band.</t>
  </si>
  <si>
    <t>Barred from attending summer business camps, I took ownership of my education by launching an indepedent data project tracking Chicago Board of Trade argicultural futurres against federal energy mertrics. This hands on analysis solidified my deseire to enter UIUC's ACE program and pair it with a Data Science minor.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</si>
</sst>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 d, yyyy"/>
    <numFmt numFmtId="165" formatCode="mmm-yyyy"/>
    <numFmt numFmtId="166" formatCode="mmmm d, yyyy"/>
    <numFmt numFmtId="167" formatCode="mmmm-yyyy"/>
  </numFmts>
  <fonts count="8">
    <font>
      <sz val="10.0"/>
      <color rgb="FF000000"/>
      <name val="Arial"/>
      <scheme val="minor"/>
    </font>
    <font>
      <b/>
      <sz val="11.0"/>
      <color theme="1"/>
      <name val="&quot;Google Sans&quot;"/>
    </font>
    <font>
      <b/>
      <color theme="1"/>
      <name val="Arial"/>
    </font>
    <font>
      <sz val="11.0"/>
      <color theme="1"/>
      <name val="&quot;Google Sans&quot;"/>
    </font>
    <font>
      <color theme="1"/>
      <name val="Arial"/>
    </font>
    <font>
      <color theme="1"/>
      <name val="Arial"/>
      <scheme val="minor"/>
    </font>
    <font>
      <sz val="15.0"/>
      <color theme="1"/>
      <name val="&quot;Google Sans&quot;"/>
    </font>
    <font>
      <sz val="12.0"/>
      <color theme="1"/>
      <name val="&quot;Google Sans&quot;"/>
    </font>
  </fonts>
  <fills count="3">
    <fill>
      <patternFill patternType="none"/>
    </fill>
    <fill>
      <patternFill patternType="lightGray"/>
    </fill>
    <fill>
      <patternFill patternType="solid">
        <fgColor rgb="FFFFFF00"/>
        <bgColor rgb="FFFFFF00"/>
      </patternFill>
    </fill>
  </fills>
  <borders count="2">
    <border/>
    <border>
      <bottom style="thin">
        <color rgb="FF36384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center" readingOrder="0"/>
    </xf>
    <xf borderId="0" fillId="0" fontId="2" numFmtId="0" xfId="0" applyAlignment="1" applyFont="1">
      <alignment horizontal="center" readingOrder="0" vertical="center"/>
    </xf>
    <xf borderId="1" fillId="0" fontId="3" numFmtId="164" xfId="0" applyAlignment="1" applyBorder="1" applyFont="1" applyNumberFormat="1">
      <alignment readingOrder="0"/>
    </xf>
    <xf borderId="1" fillId="0" fontId="3" numFmtId="0" xfId="0" applyAlignment="1" applyBorder="1" applyFont="1">
      <alignment readingOrder="0"/>
    </xf>
    <xf borderId="1" fillId="0" fontId="3" numFmtId="3" xfId="0" applyAlignment="1" applyBorder="1" applyFont="1" applyNumberFormat="1">
      <alignment readingOrder="0"/>
    </xf>
    <xf borderId="0" fillId="0" fontId="4" numFmtId="165" xfId="0" applyAlignment="1" applyFont="1" applyNumberFormat="1">
      <alignment horizontal="right" readingOrder="0" shrinkToFit="0" vertical="bottom" wrapText="0"/>
    </xf>
    <xf borderId="0" fillId="0" fontId="4" numFmtId="0" xfId="0" applyAlignment="1" applyFont="1">
      <alignment horizontal="right" readingOrder="0" shrinkToFit="0" vertical="bottom" wrapText="0"/>
    </xf>
    <xf borderId="1" fillId="0" fontId="3" numFmtId="166" xfId="0" applyAlignment="1" applyBorder="1" applyFont="1" applyNumberFormat="1">
      <alignment readingOrder="0"/>
    </xf>
    <xf borderId="0" fillId="0" fontId="4" numFmtId="167" xfId="0" applyAlignment="1" applyFont="1" applyNumberFormat="1">
      <alignment horizontal="right" readingOrder="0" shrinkToFit="0" vertical="bottom" wrapText="0"/>
    </xf>
    <xf borderId="0" fillId="0" fontId="3" numFmtId="164" xfId="0" applyAlignment="1" applyFont="1" applyNumberFormat="1">
      <alignment readingOrder="0"/>
    </xf>
    <xf borderId="0" fillId="0" fontId="3" numFmtId="0" xfId="0" applyAlignment="1" applyFont="1">
      <alignment readingOrder="0"/>
    </xf>
    <xf borderId="0" fillId="0" fontId="3" numFmtId="3" xfId="0" applyAlignment="1" applyFont="1" applyNumberFormat="1">
      <alignment readingOrder="0"/>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shrinkToFit="0" wrapText="1"/>
    </xf>
    <xf borderId="0" fillId="0" fontId="7" numFmtId="0" xfId="0" applyAlignment="1" applyFont="1">
      <alignment readingOrder="0"/>
    </xf>
    <xf borderId="0" fillId="2" fontId="5"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Corn Price per bushel and Total US Ethanol Production barrels</a:t>
            </a:r>
          </a:p>
        </c:rich>
      </c:tx>
      <c:overlay val="0"/>
    </c:title>
    <c:plotArea>
      <c:layout/>
      <c:lineChart>
        <c:varyColors val="0"/>
        <c:ser>
          <c:idx val="0"/>
          <c:order val="0"/>
          <c:tx>
            <c:strRef>
              <c:f>'Orgainze The Data'!$B$1</c:f>
            </c:strRef>
          </c:tx>
          <c:spPr>
            <a:ln cmpd="sng">
              <a:solidFill>
                <a:srgbClr val="4285F4"/>
              </a:solidFill>
            </a:ln>
          </c:spPr>
          <c:marker>
            <c:symbol val="none"/>
          </c:marker>
          <c:cat>
            <c:strRef>
              <c:f>'Orgainze The Data'!$A$2:$A$57</c:f>
            </c:strRef>
          </c:cat>
          <c:val>
            <c:numRef>
              <c:f>'Orgainze The Data'!$B$2:$B$57</c:f>
              <c:numCache/>
            </c:numRef>
          </c:val>
          <c:smooth val="0"/>
        </c:ser>
        <c:axId val="1152360535"/>
        <c:axId val="1213917367"/>
      </c:lineChart>
      <c:catAx>
        <c:axId val="11523605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213917367"/>
      </c:catAx>
      <c:valAx>
        <c:axId val="1213917367"/>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1152360535"/>
      </c:valAx>
      <c:lineChart>
        <c:varyColors val="0"/>
        <c:ser>
          <c:idx val="1"/>
          <c:order val="1"/>
          <c:tx>
            <c:strRef>
              <c:f>'Orgainze The Data'!$C$1</c:f>
            </c:strRef>
          </c:tx>
          <c:spPr>
            <a:ln cmpd="sng">
              <a:solidFill>
                <a:srgbClr val="EA4335"/>
              </a:solidFill>
            </a:ln>
          </c:spPr>
          <c:marker>
            <c:symbol val="none"/>
          </c:marker>
          <c:cat>
            <c:strRef>
              <c:f>'Orgainze The Data'!$A$2:$A$57</c:f>
            </c:strRef>
          </c:cat>
          <c:val>
            <c:numRef>
              <c:f>'Orgainze The Data'!$C$2:$C$57</c:f>
              <c:numCache/>
            </c:numRef>
          </c:val>
          <c:smooth val="0"/>
        </c:ser>
        <c:axId val="97476629"/>
        <c:axId val="1239853934"/>
      </c:lineChart>
      <c:catAx>
        <c:axId val="97476629"/>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239853934"/>
      </c:catAx>
      <c:valAx>
        <c:axId val="1239853934"/>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476629"/>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Corn Price per bushel and Total US Ethanol Production barrels</a:t>
            </a:r>
          </a:p>
        </c:rich>
      </c:tx>
      <c:overlay val="0"/>
    </c:title>
    <c:plotArea>
      <c:layout/>
      <c:scatterChart>
        <c:scatterStyle val="lineMarker"/>
        <c:ser>
          <c:idx val="0"/>
          <c:order val="0"/>
          <c:tx>
            <c:strRef>
              <c:f>'Orgainze The Data'!$B$1</c:f>
            </c:strRef>
          </c:tx>
          <c:spPr>
            <a:ln>
              <a:noFill/>
            </a:ln>
          </c:spPr>
          <c:marker>
            <c:symbol val="circle"/>
            <c:size val="7"/>
            <c:spPr>
              <a:solidFill>
                <a:schemeClr val="accent1"/>
              </a:solidFill>
              <a:ln cmpd="sng">
                <a:solidFill>
                  <a:schemeClr val="accent1"/>
                </a:solidFill>
              </a:ln>
            </c:spPr>
          </c:marker>
          <c:xVal>
            <c:numRef>
              <c:f>'Orgainze The Data'!$A$2:$A$57</c:f>
            </c:numRef>
          </c:xVal>
          <c:yVal>
            <c:numRef>
              <c:f>'Orgainze The Data'!$B$2:$B$57</c:f>
              <c:numCache/>
            </c:numRef>
          </c:yVal>
        </c:ser>
        <c:ser>
          <c:idx val="1"/>
          <c:order val="1"/>
          <c:tx>
            <c:strRef>
              <c:f>'Orgainze The Data'!$C$1</c:f>
            </c:strRef>
          </c:tx>
          <c:spPr>
            <a:ln>
              <a:noFill/>
            </a:ln>
          </c:spPr>
          <c:marker>
            <c:symbol val="circle"/>
            <c:size val="7"/>
            <c:spPr>
              <a:solidFill>
                <a:schemeClr val="accent2"/>
              </a:solidFill>
              <a:ln cmpd="sng">
                <a:solidFill>
                  <a:schemeClr val="accent2"/>
                </a:solidFill>
              </a:ln>
            </c:spPr>
          </c:marker>
          <c:xVal>
            <c:numRef>
              <c:f>'Orgainze The Data'!$A$2:$A$57</c:f>
            </c:numRef>
          </c:xVal>
          <c:yVal>
            <c:numRef>
              <c:f>'Orgainze The Data'!$C$2:$C$57</c:f>
              <c:numCache/>
            </c:numRef>
          </c:yVal>
        </c:ser>
        <c:dLbls>
          <c:showLegendKey val="0"/>
          <c:showVal val="0"/>
          <c:showCatName val="0"/>
          <c:showSerName val="0"/>
          <c:showPercent val="0"/>
          <c:showBubbleSize val="0"/>
        </c:dLbls>
        <c:axId val="433749122"/>
        <c:axId val="1593822408"/>
      </c:scatterChart>
      <c:valAx>
        <c:axId val="4337491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3822408"/>
      </c:valAx>
      <c:valAx>
        <c:axId val="15938224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3749122"/>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1676400</xdr:colOff>
      <xdr:row>5</xdr:row>
      <xdr:rowOff>161925</xdr:rowOff>
    </xdr:from>
    <xdr:ext cx="6819900" cy="42195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1676400</xdr:colOff>
      <xdr:row>25</xdr:row>
      <xdr:rowOff>95250</xdr:rowOff>
    </xdr:from>
    <xdr:ext cx="6819900" cy="42195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55.25"/>
  </cols>
  <sheetData>
    <row r="1">
      <c r="A1" s="1" t="s">
        <v>0</v>
      </c>
      <c r="B1" s="1" t="s">
        <v>1</v>
      </c>
      <c r="C1" s="1" t="s">
        <v>2</v>
      </c>
      <c r="D1" s="1" t="s">
        <v>3</v>
      </c>
      <c r="E1" s="1" t="s">
        <v>4</v>
      </c>
      <c r="F1" s="1" t="s">
        <v>5</v>
      </c>
      <c r="G1" s="1" t="s">
        <v>6</v>
      </c>
      <c r="I1" s="2" t="s">
        <v>0</v>
      </c>
      <c r="J1" s="2" t="s">
        <v>7</v>
      </c>
    </row>
    <row r="2">
      <c r="A2" s="3">
        <v>44378.0</v>
      </c>
      <c r="B2" s="4">
        <v>719.75</v>
      </c>
      <c r="C2" s="4">
        <v>750.5</v>
      </c>
      <c r="D2" s="4">
        <v>536.75</v>
      </c>
      <c r="E2" s="4">
        <v>547.0</v>
      </c>
      <c r="F2" s="4">
        <v>547.0</v>
      </c>
      <c r="G2" s="5">
        <v>980043.0</v>
      </c>
      <c r="I2" s="6">
        <v>44378.0</v>
      </c>
      <c r="J2" s="7">
        <v>31449.0</v>
      </c>
    </row>
    <row r="3">
      <c r="A3" s="3">
        <v>44409.0</v>
      </c>
      <c r="B3" s="4">
        <v>626.0</v>
      </c>
      <c r="C3" s="4">
        <v>649.5</v>
      </c>
      <c r="D3" s="4">
        <v>512.25</v>
      </c>
      <c r="E3" s="4">
        <v>541.75</v>
      </c>
      <c r="F3" s="4">
        <v>541.75</v>
      </c>
      <c r="G3" s="5">
        <v>1300000.0</v>
      </c>
      <c r="I3" s="6">
        <v>44409.0</v>
      </c>
      <c r="J3" s="7">
        <v>29087.0</v>
      </c>
    </row>
    <row r="4">
      <c r="A4" s="3">
        <v>44440.0</v>
      </c>
      <c r="B4" s="4">
        <v>534.0</v>
      </c>
      <c r="C4" s="4">
        <v>548.5</v>
      </c>
      <c r="D4" s="4">
        <v>487.75</v>
      </c>
      <c r="E4" s="4">
        <v>536.75</v>
      </c>
      <c r="F4" s="4">
        <v>536.75</v>
      </c>
      <c r="G4" s="5">
        <v>1651092.0</v>
      </c>
      <c r="I4" s="6">
        <v>44440.0</v>
      </c>
      <c r="J4" s="7">
        <v>28080.0</v>
      </c>
    </row>
    <row r="5">
      <c r="A5" s="3">
        <v>44470.0</v>
      </c>
      <c r="B5" s="4">
        <v>536.75</v>
      </c>
      <c r="C5" s="4">
        <v>569.25</v>
      </c>
      <c r="D5" s="4">
        <v>506.75</v>
      </c>
      <c r="E5" s="4">
        <v>568.25</v>
      </c>
      <c r="F5" s="4">
        <v>568.25</v>
      </c>
      <c r="G5" s="5">
        <v>2882131.0</v>
      </c>
      <c r="I5" s="6">
        <v>44470.0</v>
      </c>
      <c r="J5" s="7">
        <v>32276.0</v>
      </c>
    </row>
    <row r="6">
      <c r="A6" s="3">
        <v>44501.0</v>
      </c>
      <c r="B6" s="4">
        <v>568.0</v>
      </c>
      <c r="C6" s="4">
        <v>589.0</v>
      </c>
      <c r="D6" s="4">
        <v>547.75</v>
      </c>
      <c r="E6" s="4">
        <v>567.0</v>
      </c>
      <c r="F6" s="4">
        <v>567.0</v>
      </c>
      <c r="G6" s="5">
        <v>3647862.0</v>
      </c>
      <c r="I6" s="6">
        <v>44501.0</v>
      </c>
      <c r="J6" s="7">
        <v>32383.0</v>
      </c>
    </row>
    <row r="7">
      <c r="A7" s="3">
        <v>44531.0</v>
      </c>
      <c r="B7" s="4">
        <v>568.0</v>
      </c>
      <c r="C7" s="4">
        <v>617.75</v>
      </c>
      <c r="D7" s="4">
        <v>567.0</v>
      </c>
      <c r="E7" s="4">
        <v>593.25</v>
      </c>
      <c r="F7" s="4">
        <v>593.25</v>
      </c>
      <c r="G7" s="5">
        <v>1569449.0</v>
      </c>
      <c r="I7" s="6">
        <v>44531.0</v>
      </c>
      <c r="J7" s="7">
        <v>33132.0</v>
      </c>
    </row>
    <row r="8">
      <c r="A8" s="3">
        <v>44562.0</v>
      </c>
      <c r="B8" s="4">
        <v>599.0</v>
      </c>
      <c r="C8" s="4">
        <v>642.5</v>
      </c>
      <c r="D8" s="4">
        <v>584.75</v>
      </c>
      <c r="E8" s="4">
        <v>626.0</v>
      </c>
      <c r="F8" s="4">
        <v>626.0</v>
      </c>
      <c r="G8" s="5">
        <v>3455998.0</v>
      </c>
      <c r="I8" s="6">
        <v>44562.0</v>
      </c>
      <c r="J8" s="7">
        <v>32191.0</v>
      </c>
    </row>
    <row r="9">
      <c r="A9" s="3">
        <v>44593.0</v>
      </c>
      <c r="B9" s="4">
        <v>626.0</v>
      </c>
      <c r="C9" s="4">
        <v>718.75</v>
      </c>
      <c r="D9" s="4">
        <v>610.25</v>
      </c>
      <c r="E9" s="4">
        <v>697.5</v>
      </c>
      <c r="F9" s="4">
        <v>697.5</v>
      </c>
      <c r="G9" s="5">
        <v>3560196.0</v>
      </c>
      <c r="I9" s="6">
        <v>44593.0</v>
      </c>
      <c r="J9" s="7">
        <v>28304.0</v>
      </c>
    </row>
    <row r="10">
      <c r="A10" s="3">
        <v>44621.0</v>
      </c>
      <c r="B10" s="4">
        <v>699.75</v>
      </c>
      <c r="C10" s="4">
        <v>800.0</v>
      </c>
      <c r="D10" s="4">
        <v>699.75</v>
      </c>
      <c r="E10" s="4">
        <v>748.75</v>
      </c>
      <c r="F10" s="4">
        <v>748.75</v>
      </c>
      <c r="G10" s="5">
        <v>1531221.0</v>
      </c>
      <c r="I10" s="6">
        <v>44621.0</v>
      </c>
      <c r="J10" s="7">
        <v>31581.0</v>
      </c>
    </row>
    <row r="11">
      <c r="A11" s="3">
        <v>44652.0</v>
      </c>
      <c r="B11" s="4">
        <v>748.5</v>
      </c>
      <c r="C11" s="4">
        <v>827.0</v>
      </c>
      <c r="D11" s="4">
        <v>730.25</v>
      </c>
      <c r="E11" s="4">
        <v>818.25</v>
      </c>
      <c r="F11" s="4">
        <v>818.25</v>
      </c>
      <c r="G11" s="5">
        <v>2398102.0</v>
      </c>
      <c r="I11" s="6">
        <v>44652.0</v>
      </c>
      <c r="J11" s="7">
        <v>28956.0</v>
      </c>
    </row>
    <row r="12">
      <c r="A12" s="8">
        <v>44682.0</v>
      </c>
      <c r="B12" s="4">
        <v>751.0</v>
      </c>
      <c r="C12" s="4">
        <v>813.5</v>
      </c>
      <c r="D12" s="4">
        <v>725.0</v>
      </c>
      <c r="E12" s="4">
        <v>781.0</v>
      </c>
      <c r="F12" s="4">
        <v>781.0</v>
      </c>
      <c r="G12" s="5">
        <v>2700000.0</v>
      </c>
      <c r="I12" s="9">
        <v>44682.0</v>
      </c>
      <c r="J12" s="7">
        <v>31256.0</v>
      </c>
    </row>
    <row r="13">
      <c r="A13" s="3">
        <v>44713.0</v>
      </c>
      <c r="B13" s="4">
        <v>753.75</v>
      </c>
      <c r="C13" s="4">
        <v>800.0</v>
      </c>
      <c r="D13" s="4">
        <v>720.5</v>
      </c>
      <c r="E13" s="4">
        <v>743.75</v>
      </c>
      <c r="F13" s="4">
        <v>743.75</v>
      </c>
      <c r="G13" s="5">
        <v>3065389.0</v>
      </c>
      <c r="I13" s="6">
        <v>44713.0</v>
      </c>
      <c r="J13" s="7">
        <v>31288.0</v>
      </c>
    </row>
    <row r="14">
      <c r="A14" s="3">
        <v>44743.0</v>
      </c>
      <c r="B14" s="4">
        <v>748.0</v>
      </c>
      <c r="C14" s="4">
        <v>800.0</v>
      </c>
      <c r="D14" s="4">
        <v>561.5</v>
      </c>
      <c r="E14" s="4">
        <v>616.25</v>
      </c>
      <c r="F14" s="4">
        <v>616.25</v>
      </c>
      <c r="G14" s="5">
        <v>1072226.0</v>
      </c>
      <c r="I14" s="6">
        <v>44743.0</v>
      </c>
      <c r="J14" s="7">
        <v>31498.0</v>
      </c>
    </row>
    <row r="15">
      <c r="A15" s="3">
        <v>44774.0</v>
      </c>
      <c r="B15" s="4">
        <v>619.75</v>
      </c>
      <c r="C15" s="4">
        <v>684.25</v>
      </c>
      <c r="D15" s="4">
        <v>583.0</v>
      </c>
      <c r="E15" s="4">
        <v>673.75</v>
      </c>
      <c r="F15" s="4">
        <v>673.75</v>
      </c>
      <c r="G15" s="5">
        <v>1963935.0</v>
      </c>
      <c r="I15" s="6">
        <v>44774.0</v>
      </c>
      <c r="J15" s="7">
        <v>30520.0</v>
      </c>
    </row>
    <row r="16">
      <c r="A16" s="3">
        <v>44805.0</v>
      </c>
      <c r="B16" s="4">
        <v>671.0</v>
      </c>
      <c r="C16" s="4">
        <v>725.0</v>
      </c>
      <c r="D16" s="4">
        <v>655.0</v>
      </c>
      <c r="E16" s="4">
        <v>677.5</v>
      </c>
      <c r="F16" s="4">
        <v>677.5</v>
      </c>
      <c r="G16" s="5">
        <v>1801770.0</v>
      </c>
      <c r="I16" s="6">
        <v>44805.0</v>
      </c>
      <c r="J16" s="7">
        <v>27072.0</v>
      </c>
    </row>
    <row r="17">
      <c r="A17" s="3">
        <v>44835.0</v>
      </c>
      <c r="B17" s="4">
        <v>680.0</v>
      </c>
      <c r="C17" s="4">
        <v>706.5</v>
      </c>
      <c r="D17" s="4">
        <v>671.5</v>
      </c>
      <c r="E17" s="4">
        <v>691.5</v>
      </c>
      <c r="F17" s="4">
        <v>691.5</v>
      </c>
      <c r="G17" s="5">
        <v>2812909.0</v>
      </c>
      <c r="I17" s="6">
        <v>44835.0</v>
      </c>
      <c r="J17" s="7">
        <v>31440.0</v>
      </c>
    </row>
    <row r="18">
      <c r="A18" s="3">
        <v>44866.0</v>
      </c>
      <c r="B18" s="4">
        <v>689.0</v>
      </c>
      <c r="C18" s="4">
        <v>698.5</v>
      </c>
      <c r="D18" s="4">
        <v>651.25</v>
      </c>
      <c r="E18" s="4">
        <v>662.0</v>
      </c>
      <c r="F18" s="4">
        <v>662.0</v>
      </c>
      <c r="G18" s="5">
        <v>3161670.0</v>
      </c>
      <c r="I18" s="6">
        <v>44866.0</v>
      </c>
      <c r="J18" s="7">
        <v>31580.0</v>
      </c>
    </row>
    <row r="19">
      <c r="A19" s="3">
        <v>44896.0</v>
      </c>
      <c r="B19" s="4">
        <v>661.75</v>
      </c>
      <c r="C19" s="4">
        <v>685.0</v>
      </c>
      <c r="D19" s="4">
        <v>623.0</v>
      </c>
      <c r="E19" s="4">
        <v>678.5</v>
      </c>
      <c r="F19" s="4">
        <v>678.5</v>
      </c>
      <c r="G19" s="5">
        <v>1185195.0</v>
      </c>
      <c r="I19" s="6">
        <v>44896.0</v>
      </c>
      <c r="J19" s="7">
        <v>30046.0</v>
      </c>
    </row>
    <row r="20">
      <c r="A20" s="3">
        <v>44958.0</v>
      </c>
      <c r="B20" s="4">
        <v>679.25</v>
      </c>
      <c r="C20" s="4">
        <v>688.25</v>
      </c>
      <c r="D20" s="4">
        <v>629.25</v>
      </c>
      <c r="E20" s="4">
        <v>629.5</v>
      </c>
      <c r="F20" s="4">
        <v>629.5</v>
      </c>
      <c r="G20" s="5">
        <v>2794595.0</v>
      </c>
      <c r="I20" s="6">
        <v>44958.0</v>
      </c>
      <c r="J20" s="7">
        <v>27980.0</v>
      </c>
    </row>
    <row r="21">
      <c r="A21" s="3">
        <v>44986.0</v>
      </c>
      <c r="B21" s="4">
        <v>630.0</v>
      </c>
      <c r="C21" s="4">
        <v>664.5</v>
      </c>
      <c r="D21" s="4">
        <v>618.25</v>
      </c>
      <c r="E21" s="4">
        <v>660.5</v>
      </c>
      <c r="F21" s="4">
        <v>660.5</v>
      </c>
      <c r="G21" s="5">
        <v>2171060.0</v>
      </c>
      <c r="I21" s="6">
        <v>44986.0</v>
      </c>
      <c r="J21" s="7">
        <v>30602.0</v>
      </c>
    </row>
    <row r="22">
      <c r="A22" s="3">
        <v>45017.0</v>
      </c>
      <c r="B22" s="4">
        <v>659.5</v>
      </c>
      <c r="C22" s="4">
        <v>682.5</v>
      </c>
      <c r="D22" s="4">
        <v>621.75</v>
      </c>
      <c r="E22" s="4">
        <v>636.0</v>
      </c>
      <c r="F22" s="4">
        <v>636.0</v>
      </c>
      <c r="G22" s="5">
        <v>2254159.0</v>
      </c>
      <c r="I22" s="6">
        <v>45017.0</v>
      </c>
      <c r="J22" s="7">
        <v>29162.0</v>
      </c>
    </row>
    <row r="23">
      <c r="A23" s="8">
        <v>45047.0</v>
      </c>
      <c r="B23" s="4">
        <v>632.5</v>
      </c>
      <c r="C23" s="4">
        <v>658.5</v>
      </c>
      <c r="D23" s="4">
        <v>547.0</v>
      </c>
      <c r="E23" s="4">
        <v>594.0</v>
      </c>
      <c r="F23" s="4">
        <v>594.0</v>
      </c>
      <c r="G23" s="5">
        <v>2219922.0</v>
      </c>
      <c r="I23" s="9">
        <v>45047.0</v>
      </c>
      <c r="J23" s="7">
        <v>30820.0</v>
      </c>
    </row>
    <row r="24">
      <c r="A24" s="3">
        <v>45078.0</v>
      </c>
      <c r="B24" s="4">
        <v>594.0</v>
      </c>
      <c r="C24" s="4">
        <v>672.5</v>
      </c>
      <c r="D24" s="4">
        <v>552.0</v>
      </c>
      <c r="E24" s="4">
        <v>554.5</v>
      </c>
      <c r="F24" s="4">
        <v>554.5</v>
      </c>
      <c r="G24" s="5">
        <v>3164635.0</v>
      </c>
      <c r="I24" s="6">
        <v>45078.0</v>
      </c>
      <c r="J24" s="7">
        <v>31089.0</v>
      </c>
    </row>
    <row r="25">
      <c r="A25" s="3">
        <v>45108.0</v>
      </c>
      <c r="B25" s="4">
        <v>558.5</v>
      </c>
      <c r="C25" s="4">
        <v>614.75</v>
      </c>
      <c r="D25" s="4">
        <v>495.25</v>
      </c>
      <c r="E25" s="4">
        <v>504.0</v>
      </c>
      <c r="F25" s="4">
        <v>504.0</v>
      </c>
      <c r="G25" s="5">
        <v>1399725.0</v>
      </c>
      <c r="I25" s="6">
        <v>45108.0</v>
      </c>
      <c r="J25" s="7">
        <v>32014.0</v>
      </c>
    </row>
    <row r="26">
      <c r="A26" s="3">
        <v>45139.0</v>
      </c>
      <c r="B26" s="4">
        <v>504.0</v>
      </c>
      <c r="C26" s="4">
        <v>512.25</v>
      </c>
      <c r="D26" s="4">
        <v>459.0</v>
      </c>
      <c r="E26" s="4">
        <v>461.0</v>
      </c>
      <c r="F26" s="4">
        <v>461.0</v>
      </c>
      <c r="G26" s="5">
        <v>2195220.0</v>
      </c>
      <c r="I26" s="6">
        <v>45139.0</v>
      </c>
      <c r="J26" s="7">
        <v>31132.0</v>
      </c>
    </row>
    <row r="27">
      <c r="A27" s="3">
        <v>45170.0</v>
      </c>
      <c r="B27" s="4">
        <v>461.0</v>
      </c>
      <c r="C27" s="4">
        <v>490.0</v>
      </c>
      <c r="D27" s="4">
        <v>455.75</v>
      </c>
      <c r="E27" s="4">
        <v>476.75</v>
      </c>
      <c r="F27" s="4">
        <v>476.75</v>
      </c>
      <c r="G27" s="5">
        <v>1549029.0</v>
      </c>
      <c r="I27" s="6">
        <v>45170.0</v>
      </c>
      <c r="J27" s="7">
        <v>30104.0</v>
      </c>
    </row>
    <row r="28">
      <c r="A28" s="3">
        <v>45200.0</v>
      </c>
      <c r="B28" s="4">
        <v>469.5</v>
      </c>
      <c r="C28" s="4">
        <v>485.5</v>
      </c>
      <c r="D28" s="4">
        <v>451.25</v>
      </c>
      <c r="E28" s="4">
        <v>469.25</v>
      </c>
      <c r="F28" s="4">
        <v>469.25</v>
      </c>
      <c r="G28" s="5">
        <v>2500000.0</v>
      </c>
      <c r="I28" s="6">
        <v>45200.0</v>
      </c>
      <c r="J28" s="7">
        <v>31858.0</v>
      </c>
    </row>
    <row r="29">
      <c r="A29" s="3">
        <v>45231.0</v>
      </c>
      <c r="B29" s="4">
        <v>478.75</v>
      </c>
      <c r="C29" s="4">
        <v>481.25</v>
      </c>
      <c r="D29" s="4">
        <v>447.0</v>
      </c>
      <c r="E29" s="4">
        <v>461.75</v>
      </c>
      <c r="F29" s="4">
        <v>461.75</v>
      </c>
      <c r="G29" s="5">
        <v>3803013.0</v>
      </c>
      <c r="I29" s="6">
        <v>45231.0</v>
      </c>
      <c r="J29" s="7">
        <v>31603.0</v>
      </c>
    </row>
    <row r="30">
      <c r="A30" s="3">
        <v>45261.0</v>
      </c>
      <c r="B30" s="4">
        <v>460.25</v>
      </c>
      <c r="C30" s="4">
        <v>484.0</v>
      </c>
      <c r="D30" s="4">
        <v>455.0</v>
      </c>
      <c r="E30" s="4">
        <v>471.25</v>
      </c>
      <c r="F30" s="4">
        <v>471.25</v>
      </c>
      <c r="G30" s="5">
        <v>1233524.0</v>
      </c>
      <c r="I30" s="6">
        <v>45261.0</v>
      </c>
      <c r="J30" s="7">
        <v>33530.0</v>
      </c>
    </row>
    <row r="31">
      <c r="A31" s="3">
        <v>45292.0</v>
      </c>
      <c r="B31" s="4">
        <v>470.5</v>
      </c>
      <c r="C31" s="4">
        <v>470.75</v>
      </c>
      <c r="D31" s="4">
        <v>436.5</v>
      </c>
      <c r="E31" s="4">
        <v>448.25</v>
      </c>
      <c r="F31" s="4">
        <v>448.25</v>
      </c>
      <c r="G31" s="5">
        <v>3686446.0</v>
      </c>
      <c r="I31" s="6">
        <v>45292.0</v>
      </c>
      <c r="J31" s="7">
        <v>30843.0</v>
      </c>
    </row>
    <row r="32">
      <c r="A32" s="3">
        <v>45323.0</v>
      </c>
      <c r="B32" s="4">
        <v>448.0</v>
      </c>
      <c r="C32" s="4">
        <v>448.75</v>
      </c>
      <c r="D32" s="4">
        <v>394.5</v>
      </c>
      <c r="E32" s="4">
        <v>415.75</v>
      </c>
      <c r="F32" s="4">
        <v>415.75</v>
      </c>
      <c r="G32" s="5">
        <v>3605723.0</v>
      </c>
      <c r="I32" s="6">
        <v>45323.0</v>
      </c>
      <c r="J32" s="7">
        <v>31149.0</v>
      </c>
    </row>
    <row r="33">
      <c r="A33" s="3">
        <v>45352.0</v>
      </c>
      <c r="B33" s="4">
        <v>415.5</v>
      </c>
      <c r="C33" s="4">
        <v>448.0</v>
      </c>
      <c r="D33" s="4">
        <v>409.25</v>
      </c>
      <c r="E33" s="4">
        <v>442.0</v>
      </c>
      <c r="F33" s="4">
        <v>442.0</v>
      </c>
      <c r="G33" s="5">
        <v>1766769.0</v>
      </c>
      <c r="I33" s="6">
        <v>45352.0</v>
      </c>
      <c r="J33" s="7">
        <v>33129.0</v>
      </c>
    </row>
    <row r="34">
      <c r="A34" s="3">
        <v>45383.0</v>
      </c>
      <c r="B34" s="4">
        <v>441.75</v>
      </c>
      <c r="C34" s="4">
        <v>444.5</v>
      </c>
      <c r="D34" s="4">
        <v>424.5</v>
      </c>
      <c r="E34" s="4">
        <v>439.5</v>
      </c>
      <c r="F34" s="4">
        <v>439.5</v>
      </c>
      <c r="G34" s="5">
        <v>3816070.0</v>
      </c>
      <c r="I34" s="6">
        <v>45383.0</v>
      </c>
      <c r="J34" s="7">
        <v>29466.0</v>
      </c>
    </row>
    <row r="35">
      <c r="A35" s="8">
        <v>45413.0</v>
      </c>
      <c r="B35" s="4">
        <v>440.0</v>
      </c>
      <c r="C35" s="4">
        <v>473.25</v>
      </c>
      <c r="D35" s="4">
        <v>437.25</v>
      </c>
      <c r="E35" s="4">
        <v>446.25</v>
      </c>
      <c r="F35" s="4">
        <v>446.25</v>
      </c>
      <c r="G35" s="5">
        <v>2498977.0</v>
      </c>
      <c r="I35" s="9">
        <v>45413.0</v>
      </c>
      <c r="J35" s="7">
        <v>31783.0</v>
      </c>
    </row>
    <row r="36">
      <c r="A36" s="3">
        <v>45444.0</v>
      </c>
      <c r="B36" s="4">
        <v>445.75</v>
      </c>
      <c r="C36" s="4">
        <v>460.5</v>
      </c>
      <c r="D36" s="4">
        <v>390.5</v>
      </c>
      <c r="E36" s="4">
        <v>397.25</v>
      </c>
      <c r="F36" s="4">
        <v>397.25</v>
      </c>
      <c r="G36" s="5">
        <v>3977866.0</v>
      </c>
      <c r="I36" s="6">
        <v>45444.0</v>
      </c>
      <c r="J36" s="7">
        <v>31304.0</v>
      </c>
    </row>
    <row r="37">
      <c r="A37" s="3">
        <v>45474.0</v>
      </c>
      <c r="B37" s="4">
        <v>397.25</v>
      </c>
      <c r="C37" s="4">
        <v>412.0</v>
      </c>
      <c r="D37" s="4">
        <v>381.0</v>
      </c>
      <c r="E37" s="4">
        <v>382.75</v>
      </c>
      <c r="F37" s="4">
        <v>382.75</v>
      </c>
      <c r="G37" s="5">
        <v>1971677.0</v>
      </c>
      <c r="I37" s="6">
        <v>45474.0</v>
      </c>
      <c r="J37" s="7">
        <v>33810.0</v>
      </c>
    </row>
    <row r="38">
      <c r="A38" s="3">
        <v>45505.0</v>
      </c>
      <c r="B38" s="4">
        <v>382.5</v>
      </c>
      <c r="C38" s="4">
        <v>393.0</v>
      </c>
      <c r="D38" s="4">
        <v>360.5</v>
      </c>
      <c r="E38" s="4">
        <v>378.0</v>
      </c>
      <c r="F38" s="4">
        <v>378.0</v>
      </c>
      <c r="G38" s="5">
        <v>3012580.0</v>
      </c>
      <c r="I38" s="6">
        <v>45505.0</v>
      </c>
      <c r="J38" s="7">
        <v>33506.0</v>
      </c>
    </row>
    <row r="39">
      <c r="A39" s="3">
        <v>45536.0</v>
      </c>
      <c r="B39" s="4">
        <v>403.0</v>
      </c>
      <c r="C39" s="4">
        <v>413.5</v>
      </c>
      <c r="D39" s="4">
        <v>379.5</v>
      </c>
      <c r="E39" s="4">
        <v>394.5</v>
      </c>
      <c r="F39" s="4">
        <v>394.5</v>
      </c>
      <c r="G39" s="5">
        <v>4000000.0</v>
      </c>
      <c r="I39" s="6">
        <v>45536.0</v>
      </c>
      <c r="J39" s="7">
        <v>31220.0</v>
      </c>
    </row>
    <row r="40">
      <c r="A40" s="3">
        <v>45566.0</v>
      </c>
      <c r="B40" s="4">
        <v>423.5</v>
      </c>
      <c r="C40" s="4">
        <v>434.25</v>
      </c>
      <c r="D40" s="4">
        <v>399.0</v>
      </c>
      <c r="E40" s="4">
        <v>410.75</v>
      </c>
      <c r="F40" s="4">
        <v>410.75</v>
      </c>
      <c r="G40" s="5">
        <v>5159302.0</v>
      </c>
      <c r="I40" s="6">
        <v>45566.0</v>
      </c>
      <c r="J40" s="7">
        <v>32539.0</v>
      </c>
    </row>
    <row r="41">
      <c r="A41" s="3">
        <v>45597.0</v>
      </c>
      <c r="B41" s="4">
        <v>410.75</v>
      </c>
      <c r="C41" s="4">
        <v>434.75</v>
      </c>
      <c r="D41" s="4">
        <v>410.5</v>
      </c>
      <c r="E41" s="4">
        <v>423.0</v>
      </c>
      <c r="F41" s="4">
        <v>423.0</v>
      </c>
      <c r="G41" s="5">
        <v>4340008.0</v>
      </c>
      <c r="I41" s="6">
        <v>45597.0</v>
      </c>
      <c r="J41" s="7">
        <v>33383.0</v>
      </c>
    </row>
    <row r="42">
      <c r="A42" s="3">
        <v>45627.0</v>
      </c>
      <c r="B42" s="4">
        <v>434.0</v>
      </c>
      <c r="C42" s="4">
        <v>445.0</v>
      </c>
      <c r="D42" s="4">
        <v>424.0</v>
      </c>
      <c r="E42" s="4">
        <v>432.5</v>
      </c>
      <c r="F42" s="4">
        <v>432.5</v>
      </c>
      <c r="G42" s="5">
        <v>4500000.0</v>
      </c>
      <c r="I42" s="6">
        <v>45627.0</v>
      </c>
      <c r="J42" s="7">
        <v>34184.0</v>
      </c>
    </row>
    <row r="43">
      <c r="A43" s="3">
        <v>45658.0</v>
      </c>
      <c r="B43" s="4">
        <v>457.25</v>
      </c>
      <c r="C43" s="4">
        <v>497.5</v>
      </c>
      <c r="D43" s="4">
        <v>449.25</v>
      </c>
      <c r="E43" s="4">
        <v>482.0</v>
      </c>
      <c r="F43" s="4">
        <v>482.0</v>
      </c>
      <c r="G43" s="5">
        <v>5282119.0</v>
      </c>
      <c r="I43" s="6">
        <v>45658.0</v>
      </c>
      <c r="J43" s="7">
        <v>33596.0</v>
      </c>
    </row>
    <row r="44">
      <c r="A44" s="3">
        <v>45689.0</v>
      </c>
      <c r="B44" s="4">
        <v>476.75</v>
      </c>
      <c r="C44" s="4">
        <v>504.5</v>
      </c>
      <c r="D44" s="4">
        <v>453.0</v>
      </c>
      <c r="E44" s="4">
        <v>453.5</v>
      </c>
      <c r="F44" s="4">
        <v>453.5</v>
      </c>
      <c r="G44" s="5">
        <v>4037093.0</v>
      </c>
      <c r="I44" s="6">
        <v>45689.0</v>
      </c>
      <c r="J44" s="7">
        <v>30354.0</v>
      </c>
    </row>
    <row r="45">
      <c r="A45" s="3">
        <v>45717.0</v>
      </c>
      <c r="B45" s="4">
        <v>455.25</v>
      </c>
      <c r="C45" s="4">
        <v>470.25</v>
      </c>
      <c r="D45" s="4">
        <v>426.5</v>
      </c>
      <c r="E45" s="4">
        <v>457.25</v>
      </c>
      <c r="F45" s="4">
        <v>457.25</v>
      </c>
      <c r="G45" s="5">
        <v>2283975.0</v>
      </c>
      <c r="I45" s="6">
        <v>45717.0</v>
      </c>
      <c r="J45" s="7">
        <v>32683.0</v>
      </c>
    </row>
    <row r="46">
      <c r="A46" s="3">
        <v>45748.0</v>
      </c>
      <c r="B46" s="4">
        <v>457.75</v>
      </c>
      <c r="C46" s="4">
        <v>490.75</v>
      </c>
      <c r="D46" s="4">
        <v>447.5</v>
      </c>
      <c r="E46" s="4">
        <v>467.25</v>
      </c>
      <c r="F46" s="4">
        <v>467.25</v>
      </c>
      <c r="G46" s="5">
        <v>3721609.0</v>
      </c>
      <c r="I46" s="6">
        <v>45748.0</v>
      </c>
      <c r="J46" s="7">
        <v>30649.0</v>
      </c>
    </row>
    <row r="47">
      <c r="A47" s="8">
        <v>45778.0</v>
      </c>
      <c r="B47" s="4">
        <v>467.25</v>
      </c>
      <c r="C47" s="4">
        <v>472.25</v>
      </c>
      <c r="D47" s="4">
        <v>430.75</v>
      </c>
      <c r="E47" s="4">
        <v>444.0</v>
      </c>
      <c r="F47" s="4">
        <v>444.0</v>
      </c>
      <c r="G47" s="5">
        <v>2133765.0</v>
      </c>
      <c r="I47" s="9">
        <v>45778.0</v>
      </c>
      <c r="J47" s="7">
        <v>32098.0</v>
      </c>
    </row>
    <row r="48">
      <c r="A48" s="3">
        <v>45809.0</v>
      </c>
      <c r="B48" s="4">
        <v>444.0</v>
      </c>
      <c r="C48" s="4">
        <v>453.0</v>
      </c>
      <c r="D48" s="4">
        <v>409.0</v>
      </c>
      <c r="E48" s="4">
        <v>420.5</v>
      </c>
      <c r="F48" s="4">
        <v>420.5</v>
      </c>
      <c r="G48" s="5">
        <v>2000000.0</v>
      </c>
      <c r="I48" s="6">
        <v>45809.0</v>
      </c>
      <c r="J48" s="7">
        <v>32317.0</v>
      </c>
    </row>
    <row r="49">
      <c r="A49" s="3">
        <v>45839.0</v>
      </c>
      <c r="B49" s="4">
        <v>421.25</v>
      </c>
      <c r="C49" s="4">
        <v>435.25</v>
      </c>
      <c r="D49" s="4">
        <v>387.75</v>
      </c>
      <c r="E49" s="4">
        <v>394.0</v>
      </c>
      <c r="F49" s="4">
        <v>394.0</v>
      </c>
      <c r="G49" s="5">
        <v>1859034.0</v>
      </c>
      <c r="I49" s="6">
        <v>45839.0</v>
      </c>
      <c r="J49" s="7">
        <v>33461.0</v>
      </c>
    </row>
    <row r="50">
      <c r="A50" s="3">
        <v>45870.0</v>
      </c>
      <c r="B50" s="4">
        <v>394.0</v>
      </c>
      <c r="C50" s="4">
        <v>398.5</v>
      </c>
      <c r="D50" s="4">
        <v>368.75</v>
      </c>
      <c r="E50" s="4">
        <v>398.0</v>
      </c>
      <c r="F50" s="4">
        <v>398.0</v>
      </c>
      <c r="G50" s="5">
        <v>2738500.0</v>
      </c>
      <c r="I50" s="6">
        <v>45870.0</v>
      </c>
      <c r="J50" s="7">
        <v>33494.0</v>
      </c>
    </row>
    <row r="51">
      <c r="A51" s="3">
        <v>45901.0</v>
      </c>
      <c r="B51" s="4">
        <v>396.25</v>
      </c>
      <c r="C51" s="4">
        <v>431.25</v>
      </c>
      <c r="D51" s="4">
        <v>393.5</v>
      </c>
      <c r="E51" s="4">
        <v>415.5</v>
      </c>
      <c r="F51" s="4">
        <v>415.5</v>
      </c>
      <c r="G51" s="5">
        <v>2336612.0</v>
      </c>
      <c r="I51" s="6">
        <v>45901.0</v>
      </c>
      <c r="J51" s="7">
        <v>31505.0</v>
      </c>
    </row>
    <row r="52">
      <c r="A52" s="3">
        <v>45931.0</v>
      </c>
      <c r="B52" s="4">
        <v>415.75</v>
      </c>
      <c r="C52" s="4">
        <v>437.0</v>
      </c>
      <c r="D52" s="4">
        <v>409.25</v>
      </c>
      <c r="E52" s="4">
        <v>431.5</v>
      </c>
      <c r="F52" s="4">
        <v>431.5</v>
      </c>
      <c r="G52" s="5">
        <v>5133237.0</v>
      </c>
      <c r="I52" s="6">
        <v>45931.0</v>
      </c>
      <c r="J52" s="7">
        <v>34112.0</v>
      </c>
    </row>
    <row r="53">
      <c r="A53" s="3">
        <v>45962.0</v>
      </c>
      <c r="B53" s="4">
        <v>431.0</v>
      </c>
      <c r="C53" s="4">
        <v>442.75</v>
      </c>
      <c r="D53" s="4">
        <v>422.25</v>
      </c>
      <c r="E53" s="4">
        <v>435.5</v>
      </c>
      <c r="F53" s="4">
        <v>435.5</v>
      </c>
      <c r="G53" s="5">
        <v>3917902.0</v>
      </c>
      <c r="I53" s="6">
        <v>45962.0</v>
      </c>
      <c r="J53" s="7">
        <v>33522.0</v>
      </c>
    </row>
    <row r="54">
      <c r="A54" s="3">
        <v>45992.0</v>
      </c>
      <c r="B54" s="4">
        <v>434.5</v>
      </c>
      <c r="C54" s="4">
        <v>453.0</v>
      </c>
      <c r="D54" s="4">
        <v>428.25</v>
      </c>
      <c r="E54" s="4">
        <v>440.25</v>
      </c>
      <c r="F54" s="4">
        <v>440.25</v>
      </c>
      <c r="G54" s="5">
        <v>1879512.0</v>
      </c>
      <c r="I54" s="6">
        <v>45992.0</v>
      </c>
      <c r="J54" s="7">
        <v>34934.0</v>
      </c>
    </row>
    <row r="55">
      <c r="A55" s="3">
        <v>46023.0</v>
      </c>
      <c r="B55" s="4">
        <v>440.75</v>
      </c>
      <c r="C55" s="4">
        <v>448.75</v>
      </c>
      <c r="D55" s="4">
        <v>417.25</v>
      </c>
      <c r="E55" s="4">
        <v>428.25</v>
      </c>
      <c r="F55" s="4">
        <v>428.25</v>
      </c>
      <c r="G55" s="5">
        <v>4154358.0</v>
      </c>
      <c r="I55" s="6">
        <v>46023.0</v>
      </c>
      <c r="J55" s="7">
        <v>33738.0</v>
      </c>
    </row>
    <row r="56">
      <c r="A56" s="3">
        <v>46054.0</v>
      </c>
      <c r="B56" s="4">
        <v>440.0</v>
      </c>
      <c r="C56" s="4">
        <v>452.0</v>
      </c>
      <c r="D56" s="4">
        <v>418.0</v>
      </c>
      <c r="E56" s="4">
        <v>434.5</v>
      </c>
      <c r="F56" s="4">
        <v>434.5</v>
      </c>
      <c r="G56" s="5">
        <v>2100000.0</v>
      </c>
      <c r="I56" s="6">
        <v>46054.0</v>
      </c>
      <c r="J56" s="7">
        <v>31399.0</v>
      </c>
    </row>
    <row r="57">
      <c r="A57" s="3">
        <v>46082.0</v>
      </c>
      <c r="B57" s="4">
        <v>449.0</v>
      </c>
      <c r="C57" s="4">
        <v>459.0</v>
      </c>
      <c r="D57" s="4">
        <v>427.5</v>
      </c>
      <c r="E57" s="4">
        <v>441.25</v>
      </c>
      <c r="F57" s="4">
        <v>441.25</v>
      </c>
      <c r="G57" s="5">
        <v>2500000.0</v>
      </c>
      <c r="I57" s="6">
        <v>46082.0</v>
      </c>
      <c r="J57" s="7">
        <v>34174.0</v>
      </c>
    </row>
    <row r="58">
      <c r="A58" s="3"/>
      <c r="B58" s="4">
        <v>457.5</v>
      </c>
      <c r="C58" s="4">
        <v>469.0</v>
      </c>
      <c r="D58" s="4">
        <v>438.0</v>
      </c>
      <c r="E58" s="4">
        <v>464.75</v>
      </c>
      <c r="F58" s="4">
        <v>464.75</v>
      </c>
      <c r="G58" s="5">
        <v>3612782.0</v>
      </c>
      <c r="I58" s="6"/>
      <c r="J58" s="7"/>
    </row>
    <row r="59">
      <c r="A59" s="8"/>
      <c r="B59" s="4">
        <v>462.75</v>
      </c>
      <c r="C59" s="4">
        <v>481.75</v>
      </c>
      <c r="D59" s="4">
        <v>445.0</v>
      </c>
      <c r="E59" s="4">
        <v>446.75</v>
      </c>
      <c r="F59" s="4">
        <v>446.75</v>
      </c>
      <c r="G59" s="5">
        <v>2697554.0</v>
      </c>
    </row>
    <row r="60">
      <c r="A60" s="3"/>
      <c r="B60" s="4">
        <v>446.0</v>
      </c>
      <c r="C60" s="4">
        <v>449.25</v>
      </c>
      <c r="D60" s="4">
        <v>416.0</v>
      </c>
      <c r="E60" s="4">
        <v>417.5</v>
      </c>
      <c r="F60" s="4">
        <v>417.5</v>
      </c>
      <c r="G60" s="5">
        <v>1246329.0</v>
      </c>
    </row>
    <row r="61">
      <c r="A61" s="10"/>
      <c r="B61" s="11">
        <v>420.5</v>
      </c>
      <c r="C61" s="11">
        <v>421.0</v>
      </c>
      <c r="D61" s="11">
        <v>415.0</v>
      </c>
      <c r="E61" s="11">
        <v>416.0</v>
      </c>
      <c r="F61" s="11">
        <v>416.0</v>
      </c>
      <c r="G61" s="12">
        <v>15085.0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25"/>
  </cols>
  <sheetData>
    <row r="1" ht="30.0" customHeight="1">
      <c r="A1" s="2" t="s">
        <v>0</v>
      </c>
      <c r="B1" s="2" t="s">
        <v>7</v>
      </c>
    </row>
    <row r="2">
      <c r="A2" s="6">
        <v>44378.0</v>
      </c>
      <c r="B2" s="7">
        <v>31449.0</v>
      </c>
    </row>
    <row r="3">
      <c r="A3" s="6">
        <v>44409.0</v>
      </c>
      <c r="B3" s="7">
        <v>29087.0</v>
      </c>
    </row>
    <row r="4">
      <c r="A4" s="6">
        <v>44440.0</v>
      </c>
      <c r="B4" s="7">
        <v>28080.0</v>
      </c>
    </row>
    <row r="5">
      <c r="A5" s="6">
        <v>44470.0</v>
      </c>
      <c r="B5" s="7">
        <v>32276.0</v>
      </c>
    </row>
    <row r="6">
      <c r="A6" s="6">
        <v>44501.0</v>
      </c>
      <c r="B6" s="7">
        <v>32383.0</v>
      </c>
    </row>
    <row r="7">
      <c r="A7" s="6">
        <v>44531.0</v>
      </c>
      <c r="B7" s="7">
        <v>33132.0</v>
      </c>
    </row>
    <row r="8">
      <c r="A8" s="6">
        <v>44562.0</v>
      </c>
      <c r="B8" s="7">
        <v>32191.0</v>
      </c>
    </row>
    <row r="9">
      <c r="A9" s="6">
        <v>44593.0</v>
      </c>
      <c r="B9" s="7">
        <v>28304.0</v>
      </c>
    </row>
    <row r="10">
      <c r="A10" s="6">
        <v>44621.0</v>
      </c>
      <c r="B10" s="7">
        <v>31581.0</v>
      </c>
    </row>
    <row r="11">
      <c r="A11" s="6">
        <v>44652.0</v>
      </c>
      <c r="B11" s="7">
        <v>28956.0</v>
      </c>
    </row>
    <row r="12">
      <c r="A12" s="9">
        <v>44682.0</v>
      </c>
      <c r="B12" s="7">
        <v>31256.0</v>
      </c>
    </row>
    <row r="13">
      <c r="A13" s="6">
        <v>44713.0</v>
      </c>
      <c r="B13" s="7">
        <v>31288.0</v>
      </c>
    </row>
    <row r="14">
      <c r="A14" s="6">
        <v>44743.0</v>
      </c>
      <c r="B14" s="7">
        <v>31498.0</v>
      </c>
    </row>
    <row r="15">
      <c r="A15" s="6">
        <v>44774.0</v>
      </c>
      <c r="B15" s="7">
        <v>30520.0</v>
      </c>
    </row>
    <row r="16">
      <c r="A16" s="6">
        <v>44805.0</v>
      </c>
      <c r="B16" s="7">
        <v>27072.0</v>
      </c>
    </row>
    <row r="17">
      <c r="A17" s="6">
        <v>44835.0</v>
      </c>
      <c r="B17" s="7">
        <v>31440.0</v>
      </c>
    </row>
    <row r="18">
      <c r="A18" s="6">
        <v>44866.0</v>
      </c>
      <c r="B18" s="7">
        <v>31580.0</v>
      </c>
    </row>
    <row r="19">
      <c r="A19" s="6">
        <v>44896.0</v>
      </c>
      <c r="B19" s="7">
        <v>30046.0</v>
      </c>
    </row>
    <row r="20">
      <c r="A20" s="6">
        <v>44927.0</v>
      </c>
      <c r="B20" s="7">
        <v>31064.0</v>
      </c>
    </row>
    <row r="21">
      <c r="A21" s="6">
        <v>44958.0</v>
      </c>
      <c r="B21" s="7">
        <v>27980.0</v>
      </c>
    </row>
    <row r="22">
      <c r="A22" s="6">
        <v>44986.0</v>
      </c>
      <c r="B22" s="7">
        <v>30602.0</v>
      </c>
    </row>
    <row r="23">
      <c r="A23" s="6">
        <v>45017.0</v>
      </c>
      <c r="B23" s="7">
        <v>29162.0</v>
      </c>
    </row>
    <row r="24">
      <c r="A24" s="9">
        <v>45047.0</v>
      </c>
      <c r="B24" s="7">
        <v>30820.0</v>
      </c>
    </row>
    <row r="25">
      <c r="A25" s="6">
        <v>45078.0</v>
      </c>
      <c r="B25" s="7">
        <v>31089.0</v>
      </c>
    </row>
    <row r="26">
      <c r="A26" s="6">
        <v>45108.0</v>
      </c>
      <c r="B26" s="7">
        <v>32014.0</v>
      </c>
    </row>
    <row r="27">
      <c r="A27" s="6">
        <v>45139.0</v>
      </c>
      <c r="B27" s="7">
        <v>31132.0</v>
      </c>
    </row>
    <row r="28">
      <c r="A28" s="6">
        <v>45170.0</v>
      </c>
      <c r="B28" s="7">
        <v>30104.0</v>
      </c>
    </row>
    <row r="29">
      <c r="A29" s="6">
        <v>45200.0</v>
      </c>
      <c r="B29" s="7">
        <v>31858.0</v>
      </c>
    </row>
    <row r="30">
      <c r="A30" s="6">
        <v>45231.0</v>
      </c>
      <c r="B30" s="7">
        <v>31603.0</v>
      </c>
    </row>
    <row r="31">
      <c r="A31" s="6">
        <v>45261.0</v>
      </c>
      <c r="B31" s="7">
        <v>33530.0</v>
      </c>
    </row>
    <row r="32">
      <c r="A32" s="6">
        <v>45292.0</v>
      </c>
      <c r="B32" s="7">
        <v>30843.0</v>
      </c>
    </row>
    <row r="33">
      <c r="A33" s="6">
        <v>45323.0</v>
      </c>
      <c r="B33" s="7">
        <v>31149.0</v>
      </c>
    </row>
    <row r="34">
      <c r="A34" s="6">
        <v>45352.0</v>
      </c>
      <c r="B34" s="7">
        <v>33129.0</v>
      </c>
    </row>
    <row r="35">
      <c r="A35" s="6">
        <v>45383.0</v>
      </c>
      <c r="B35" s="7">
        <v>29466.0</v>
      </c>
    </row>
    <row r="36">
      <c r="A36" s="9">
        <v>45413.0</v>
      </c>
      <c r="B36" s="7">
        <v>31783.0</v>
      </c>
    </row>
    <row r="37">
      <c r="A37" s="6">
        <v>45444.0</v>
      </c>
      <c r="B37" s="7">
        <v>31304.0</v>
      </c>
    </row>
    <row r="38">
      <c r="A38" s="6">
        <v>45474.0</v>
      </c>
      <c r="B38" s="7">
        <v>33810.0</v>
      </c>
    </row>
    <row r="39">
      <c r="A39" s="6">
        <v>45505.0</v>
      </c>
      <c r="B39" s="7">
        <v>33506.0</v>
      </c>
    </row>
    <row r="40">
      <c r="A40" s="6">
        <v>45536.0</v>
      </c>
      <c r="B40" s="7">
        <v>31220.0</v>
      </c>
    </row>
    <row r="41">
      <c r="A41" s="6">
        <v>45566.0</v>
      </c>
      <c r="B41" s="7">
        <v>32539.0</v>
      </c>
    </row>
    <row r="42">
      <c r="A42" s="6">
        <v>45597.0</v>
      </c>
      <c r="B42" s="7">
        <v>33383.0</v>
      </c>
    </row>
    <row r="43">
      <c r="A43" s="6">
        <v>45627.0</v>
      </c>
      <c r="B43" s="7">
        <v>34184.0</v>
      </c>
    </row>
    <row r="44">
      <c r="A44" s="6">
        <v>45658.0</v>
      </c>
      <c r="B44" s="7">
        <v>33596.0</v>
      </c>
    </row>
    <row r="45">
      <c r="A45" s="6">
        <v>45689.0</v>
      </c>
      <c r="B45" s="7">
        <v>30354.0</v>
      </c>
    </row>
    <row r="46">
      <c r="A46" s="6">
        <v>45717.0</v>
      </c>
      <c r="B46" s="7">
        <v>32683.0</v>
      </c>
    </row>
    <row r="47">
      <c r="A47" s="6">
        <v>45748.0</v>
      </c>
      <c r="B47" s="7">
        <v>30649.0</v>
      </c>
    </row>
    <row r="48">
      <c r="A48" s="9">
        <v>45778.0</v>
      </c>
      <c r="B48" s="7">
        <v>32098.0</v>
      </c>
    </row>
    <row r="49">
      <c r="A49" s="6">
        <v>45809.0</v>
      </c>
      <c r="B49" s="7">
        <v>32317.0</v>
      </c>
    </row>
    <row r="50">
      <c r="A50" s="6">
        <v>45839.0</v>
      </c>
      <c r="B50" s="7">
        <v>33461.0</v>
      </c>
    </row>
    <row r="51">
      <c r="A51" s="6">
        <v>45870.0</v>
      </c>
      <c r="B51" s="7">
        <v>33494.0</v>
      </c>
    </row>
    <row r="52">
      <c r="A52" s="6">
        <v>45901.0</v>
      </c>
      <c r="B52" s="7">
        <v>31505.0</v>
      </c>
    </row>
    <row r="53">
      <c r="A53" s="6">
        <v>45931.0</v>
      </c>
      <c r="B53" s="7">
        <v>34112.0</v>
      </c>
    </row>
    <row r="54">
      <c r="A54" s="6">
        <v>45962.0</v>
      </c>
      <c r="B54" s="7">
        <v>33522.0</v>
      </c>
    </row>
    <row r="55">
      <c r="A55" s="6">
        <v>45992.0</v>
      </c>
      <c r="B55" s="7">
        <v>34934.0</v>
      </c>
    </row>
    <row r="56">
      <c r="A56" s="6">
        <v>46023.0</v>
      </c>
      <c r="B56" s="7">
        <v>33738.0</v>
      </c>
    </row>
    <row r="57">
      <c r="A57" s="6">
        <v>46054.0</v>
      </c>
      <c r="B57" s="7">
        <v>31399.0</v>
      </c>
    </row>
    <row r="58">
      <c r="A58" s="6">
        <v>46082.0</v>
      </c>
      <c r="B58" s="7">
        <v>34174.0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3" max="3" width="27.38"/>
    <col customWidth="1" min="4" max="4" width="41.25"/>
  </cols>
  <sheetData>
    <row r="1">
      <c r="A1" s="13" t="s">
        <v>0</v>
      </c>
      <c r="B1" s="13" t="s">
        <v>8</v>
      </c>
      <c r="C1" s="13" t="s">
        <v>9</v>
      </c>
      <c r="D1" s="13" t="s">
        <v>10</v>
      </c>
    </row>
    <row r="2">
      <c r="A2" s="3">
        <v>44378.0</v>
      </c>
      <c r="B2" s="4">
        <v>547.0</v>
      </c>
      <c r="C2" s="7">
        <v>31449.0</v>
      </c>
      <c r="D2" s="14">
        <f>CORREL(B2:B57,C2:C57)</f>
        <v>-0.5293402309</v>
      </c>
    </row>
    <row r="3">
      <c r="A3" s="3">
        <v>44409.0</v>
      </c>
      <c r="B3" s="4">
        <v>541.75</v>
      </c>
      <c r="C3" s="7">
        <v>29087.0</v>
      </c>
    </row>
    <row r="4">
      <c r="A4" s="3">
        <v>44440.0</v>
      </c>
      <c r="B4" s="4">
        <v>536.75</v>
      </c>
      <c r="C4" s="7">
        <v>28080.0</v>
      </c>
    </row>
    <row r="5">
      <c r="A5" s="3">
        <v>44470.0</v>
      </c>
      <c r="B5" s="4">
        <v>568.25</v>
      </c>
      <c r="C5" s="7">
        <v>32276.0</v>
      </c>
    </row>
    <row r="6">
      <c r="A6" s="3">
        <v>44501.0</v>
      </c>
      <c r="B6" s="4">
        <v>567.0</v>
      </c>
      <c r="C6" s="7">
        <v>32383.0</v>
      </c>
    </row>
    <row r="7">
      <c r="A7" s="3">
        <v>44531.0</v>
      </c>
      <c r="B7" s="4">
        <v>593.25</v>
      </c>
      <c r="C7" s="7">
        <v>33132.0</v>
      </c>
    </row>
    <row r="8">
      <c r="A8" s="3">
        <v>44562.0</v>
      </c>
      <c r="B8" s="4">
        <v>626.0</v>
      </c>
      <c r="C8" s="7">
        <v>32191.0</v>
      </c>
    </row>
    <row r="9">
      <c r="A9" s="3">
        <v>44593.0</v>
      </c>
      <c r="B9" s="4">
        <v>697.5</v>
      </c>
      <c r="C9" s="7">
        <v>28304.0</v>
      </c>
    </row>
    <row r="10">
      <c r="A10" s="3">
        <v>44621.0</v>
      </c>
      <c r="B10" s="4">
        <v>748.75</v>
      </c>
      <c r="C10" s="7">
        <v>31581.0</v>
      </c>
    </row>
    <row r="11">
      <c r="A11" s="3">
        <v>44652.0</v>
      </c>
      <c r="B11" s="4">
        <v>818.25</v>
      </c>
      <c r="C11" s="7">
        <v>28956.0</v>
      </c>
    </row>
    <row r="12">
      <c r="A12" s="8">
        <v>44682.0</v>
      </c>
      <c r="B12" s="4">
        <v>781.0</v>
      </c>
      <c r="C12" s="7">
        <v>31256.0</v>
      </c>
    </row>
    <row r="13">
      <c r="A13" s="3">
        <v>44713.0</v>
      </c>
      <c r="B13" s="4">
        <v>743.75</v>
      </c>
      <c r="C13" s="7">
        <v>31288.0</v>
      </c>
    </row>
    <row r="14">
      <c r="A14" s="3">
        <v>44743.0</v>
      </c>
      <c r="B14" s="4">
        <v>616.25</v>
      </c>
      <c r="C14" s="7">
        <v>31498.0</v>
      </c>
    </row>
    <row r="15">
      <c r="A15" s="3">
        <v>44774.0</v>
      </c>
      <c r="B15" s="4">
        <v>673.75</v>
      </c>
      <c r="C15" s="7">
        <v>30520.0</v>
      </c>
    </row>
    <row r="16">
      <c r="A16" s="3">
        <v>44805.0</v>
      </c>
      <c r="B16" s="4">
        <v>677.5</v>
      </c>
      <c r="C16" s="7">
        <v>27072.0</v>
      </c>
    </row>
    <row r="17">
      <c r="A17" s="3">
        <v>44835.0</v>
      </c>
      <c r="B17" s="4">
        <v>691.5</v>
      </c>
      <c r="C17" s="7">
        <v>31440.0</v>
      </c>
    </row>
    <row r="18">
      <c r="A18" s="3">
        <v>44866.0</v>
      </c>
      <c r="B18" s="4">
        <v>662.0</v>
      </c>
      <c r="C18" s="7">
        <v>31580.0</v>
      </c>
    </row>
    <row r="19">
      <c r="A19" s="3">
        <v>44896.0</v>
      </c>
      <c r="B19" s="4">
        <v>678.5</v>
      </c>
      <c r="C19" s="7">
        <v>30046.0</v>
      </c>
    </row>
    <row r="20">
      <c r="A20" s="3">
        <v>44958.0</v>
      </c>
      <c r="B20" s="4">
        <v>629.5</v>
      </c>
      <c r="C20" s="7">
        <v>27980.0</v>
      </c>
    </row>
    <row r="21">
      <c r="A21" s="3">
        <v>44986.0</v>
      </c>
      <c r="B21" s="4">
        <v>660.5</v>
      </c>
      <c r="C21" s="7">
        <v>30602.0</v>
      </c>
    </row>
    <row r="22">
      <c r="A22" s="3">
        <v>45017.0</v>
      </c>
      <c r="B22" s="4">
        <v>636.0</v>
      </c>
      <c r="C22" s="7">
        <v>29162.0</v>
      </c>
    </row>
    <row r="23">
      <c r="A23" s="8">
        <v>45047.0</v>
      </c>
      <c r="B23" s="4">
        <v>594.0</v>
      </c>
      <c r="C23" s="7">
        <v>30820.0</v>
      </c>
    </row>
    <row r="24">
      <c r="A24" s="3">
        <v>45078.0</v>
      </c>
      <c r="B24" s="4">
        <v>554.5</v>
      </c>
      <c r="C24" s="7">
        <v>31089.0</v>
      </c>
    </row>
    <row r="25">
      <c r="A25" s="3">
        <v>45108.0</v>
      </c>
      <c r="B25" s="4">
        <v>504.0</v>
      </c>
      <c r="C25" s="7">
        <v>32014.0</v>
      </c>
    </row>
    <row r="26">
      <c r="A26" s="3">
        <v>45139.0</v>
      </c>
      <c r="B26" s="4">
        <v>461.0</v>
      </c>
      <c r="C26" s="7">
        <v>31132.0</v>
      </c>
    </row>
    <row r="27">
      <c r="A27" s="3">
        <v>45170.0</v>
      </c>
      <c r="B27" s="4">
        <v>476.75</v>
      </c>
      <c r="C27" s="7">
        <v>30104.0</v>
      </c>
    </row>
    <row r="28">
      <c r="A28" s="3">
        <v>45200.0</v>
      </c>
      <c r="B28" s="4">
        <v>469.25</v>
      </c>
      <c r="C28" s="7">
        <v>31858.0</v>
      </c>
    </row>
    <row r="29">
      <c r="A29" s="3">
        <v>45231.0</v>
      </c>
      <c r="B29" s="4">
        <v>461.75</v>
      </c>
      <c r="C29" s="7">
        <v>31603.0</v>
      </c>
    </row>
    <row r="30">
      <c r="A30" s="3">
        <v>45261.0</v>
      </c>
      <c r="B30" s="4">
        <v>471.25</v>
      </c>
      <c r="C30" s="7">
        <v>33530.0</v>
      </c>
    </row>
    <row r="31">
      <c r="A31" s="3">
        <v>45292.0</v>
      </c>
      <c r="B31" s="4">
        <v>448.25</v>
      </c>
      <c r="C31" s="7">
        <v>30843.0</v>
      </c>
    </row>
    <row r="32">
      <c r="A32" s="3">
        <v>45323.0</v>
      </c>
      <c r="B32" s="4">
        <v>415.75</v>
      </c>
      <c r="C32" s="7">
        <v>31149.0</v>
      </c>
    </row>
    <row r="33">
      <c r="A33" s="3">
        <v>45352.0</v>
      </c>
      <c r="B33" s="4">
        <v>442.0</v>
      </c>
      <c r="C33" s="7">
        <v>33129.0</v>
      </c>
    </row>
    <row r="34">
      <c r="A34" s="3">
        <v>45383.0</v>
      </c>
      <c r="B34" s="4">
        <v>439.5</v>
      </c>
      <c r="C34" s="7">
        <v>29466.0</v>
      </c>
    </row>
    <row r="35">
      <c r="A35" s="8">
        <v>45413.0</v>
      </c>
      <c r="B35" s="4">
        <v>446.25</v>
      </c>
      <c r="C35" s="7">
        <v>31783.0</v>
      </c>
    </row>
    <row r="36">
      <c r="A36" s="3">
        <v>45444.0</v>
      </c>
      <c r="B36" s="4">
        <v>397.25</v>
      </c>
      <c r="C36" s="7">
        <v>31304.0</v>
      </c>
    </row>
    <row r="37">
      <c r="A37" s="3">
        <v>45474.0</v>
      </c>
      <c r="B37" s="4">
        <v>382.75</v>
      </c>
      <c r="C37" s="7">
        <v>33810.0</v>
      </c>
    </row>
    <row r="38">
      <c r="A38" s="3">
        <v>45505.0</v>
      </c>
      <c r="B38" s="4">
        <v>378.0</v>
      </c>
      <c r="C38" s="7">
        <v>33506.0</v>
      </c>
    </row>
    <row r="39">
      <c r="A39" s="3">
        <v>45536.0</v>
      </c>
      <c r="B39" s="4">
        <v>394.5</v>
      </c>
      <c r="C39" s="7">
        <v>31220.0</v>
      </c>
    </row>
    <row r="40">
      <c r="A40" s="3">
        <v>45566.0</v>
      </c>
      <c r="B40" s="4">
        <v>410.75</v>
      </c>
      <c r="C40" s="7">
        <v>32539.0</v>
      </c>
    </row>
    <row r="41">
      <c r="A41" s="3">
        <v>45597.0</v>
      </c>
      <c r="B41" s="4">
        <v>423.0</v>
      </c>
      <c r="C41" s="7">
        <v>33383.0</v>
      </c>
    </row>
    <row r="42">
      <c r="A42" s="3">
        <v>45627.0</v>
      </c>
      <c r="B42" s="4">
        <v>432.5</v>
      </c>
      <c r="C42" s="7">
        <v>34184.0</v>
      </c>
    </row>
    <row r="43">
      <c r="A43" s="3">
        <v>45658.0</v>
      </c>
      <c r="B43" s="4">
        <v>482.0</v>
      </c>
      <c r="C43" s="7">
        <v>33596.0</v>
      </c>
    </row>
    <row r="44">
      <c r="A44" s="3">
        <v>45689.0</v>
      </c>
      <c r="B44" s="4">
        <v>453.5</v>
      </c>
      <c r="C44" s="7">
        <v>30354.0</v>
      </c>
    </row>
    <row r="45">
      <c r="A45" s="3">
        <v>45717.0</v>
      </c>
      <c r="B45" s="4">
        <v>457.25</v>
      </c>
      <c r="C45" s="7">
        <v>32683.0</v>
      </c>
    </row>
    <row r="46">
      <c r="A46" s="3">
        <v>45748.0</v>
      </c>
      <c r="B46" s="4">
        <v>467.25</v>
      </c>
      <c r="C46" s="7">
        <v>30649.0</v>
      </c>
    </row>
    <row r="47">
      <c r="A47" s="8">
        <v>45778.0</v>
      </c>
      <c r="B47" s="4">
        <v>444.0</v>
      </c>
      <c r="C47" s="7">
        <v>32098.0</v>
      </c>
    </row>
    <row r="48">
      <c r="A48" s="3">
        <v>45809.0</v>
      </c>
      <c r="B48" s="4">
        <v>420.5</v>
      </c>
      <c r="C48" s="7">
        <v>32317.0</v>
      </c>
    </row>
    <row r="49">
      <c r="A49" s="3">
        <v>45839.0</v>
      </c>
      <c r="B49" s="4">
        <v>394.0</v>
      </c>
      <c r="C49" s="7">
        <v>33461.0</v>
      </c>
    </row>
    <row r="50">
      <c r="A50" s="3">
        <v>45870.0</v>
      </c>
      <c r="B50" s="4">
        <v>398.0</v>
      </c>
      <c r="C50" s="7">
        <v>33494.0</v>
      </c>
    </row>
    <row r="51">
      <c r="A51" s="3">
        <v>45901.0</v>
      </c>
      <c r="B51" s="4">
        <v>415.5</v>
      </c>
      <c r="C51" s="7">
        <v>31505.0</v>
      </c>
    </row>
    <row r="52">
      <c r="A52" s="3">
        <v>45931.0</v>
      </c>
      <c r="B52" s="4">
        <v>431.5</v>
      </c>
      <c r="C52" s="7">
        <v>34112.0</v>
      </c>
    </row>
    <row r="53">
      <c r="A53" s="3">
        <v>45962.0</v>
      </c>
      <c r="B53" s="4">
        <v>435.5</v>
      </c>
      <c r="C53" s="7">
        <v>33522.0</v>
      </c>
    </row>
    <row r="54">
      <c r="A54" s="3">
        <v>45992.0</v>
      </c>
      <c r="B54" s="4">
        <v>440.25</v>
      </c>
      <c r="C54" s="7">
        <v>34934.0</v>
      </c>
    </row>
    <row r="55">
      <c r="A55" s="3">
        <v>46023.0</v>
      </c>
      <c r="B55" s="4">
        <v>428.25</v>
      </c>
      <c r="C55" s="7">
        <v>33738.0</v>
      </c>
    </row>
    <row r="56">
      <c r="A56" s="3">
        <v>46054.0</v>
      </c>
      <c r="B56" s="4">
        <v>434.5</v>
      </c>
      <c r="C56" s="7">
        <v>31399.0</v>
      </c>
    </row>
    <row r="57">
      <c r="A57" s="3">
        <v>46082.0</v>
      </c>
      <c r="B57" s="4">
        <v>441.25</v>
      </c>
      <c r="C57" s="7">
        <v>34174.0</v>
      </c>
    </row>
    <row r="58">
      <c r="B58"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25"/>
  </cols>
  <sheetData>
    <row r="1">
      <c r="A1" s="15" t="s">
        <v>11</v>
      </c>
    </row>
    <row r="2">
      <c r="A2" s="15" t="s">
        <v>12</v>
      </c>
    </row>
    <row r="3">
      <c r="A3" s="16" t="s">
        <v>13</v>
      </c>
    </row>
    <row r="5">
      <c r="A5" s="15" t="s">
        <v>14</v>
      </c>
    </row>
    <row r="6">
      <c r="A6" s="17" t="s">
        <v>15</v>
      </c>
    </row>
    <row r="7">
      <c r="A7" s="16" t="s">
        <v>16</v>
      </c>
    </row>
    <row r="8">
      <c r="A8" s="16" t="s">
        <v>17</v>
      </c>
    </row>
    <row r="9">
      <c r="A9" s="16" t="s">
        <v>18</v>
      </c>
    </row>
    <row r="10">
      <c r="A10" s="16" t="s">
        <v>19</v>
      </c>
    </row>
    <row r="11">
      <c r="A11" s="16" t="s">
        <v>20</v>
      </c>
    </row>
    <row r="13">
      <c r="A13" s="18" t="s">
        <v>21</v>
      </c>
    </row>
  </sheetData>
  <drawing r:id="rId1"/>
</worksheet>
</file>